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0" windowHeight="498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<sst xmlns="http://schemas.openxmlformats.org/spreadsheetml/2006/main" count="51" uniqueCount="33">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</sst>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G17" sqref="G17"/>
    </sheetView>
  </sheetViews>
  <sheetFormatPr defaultColWidth="9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VLOOKUP(B2,VatPham!$A$2:$C$7,2,0)</f>
        <v>Ao Giap Vang</v>
      </c>
      <c r="E2">
        <f>VLOOKUP(B2,VatPham!$A$2:$C$7,3,0)</f>
        <v>250000</v>
      </c>
      <c r="F2">
        <f>E2*C2</f>
        <v>250000</v>
      </c>
    </row>
    <row r="3" hidden="1" spans="1:6">
      <c r="A3" t="s">
        <v>8</v>
      </c>
      <c r="B3" t="s">
        <v>9</v>
      </c>
      <c r="C3">
        <v>1</v>
      </c>
      <c r="D3" t="str">
        <f>VLOOKUP(B3,VatPham!$A$2:$C$7,2,0)</f>
        <v>Nhan Ma Thuat</v>
      </c>
      <c r="E3">
        <f>VLOOKUP(B3,VatPham!$A$2:$C$7,3,0)</f>
        <v>99000</v>
      </c>
      <c r="F3">
        <f t="shared" ref="F3:F16" si="0">E3*C3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VLOOKUP(B4,VatPham!$A$2:$C$7,2,0)</f>
        <v>Giay Toc Do</v>
      </c>
      <c r="E4">
        <f>VLOOKUP(B4,VatPham!$A$2:$C$7,3,0)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VLOOKUP(B5,VatPham!$A$2:$C$7,2,0)</f>
        <v>Nhan Ma Thuat</v>
      </c>
      <c r="E5">
        <f>VLOOKUP(B5,VatPham!$A$2:$C$7,3,0)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t="str">
        <f>VLOOKUP(B6,VatPham!$A$2:$C$7,2,0)</f>
        <v>Binh May</v>
      </c>
      <c r="E6">
        <f>VLOOKUP(B6,VatPham!$A$2:$C$7,3,0)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VLOOKUP(B7,VatPham!$A$2:$C$7,2,0)</f>
        <v>Nhan Ma Thuat</v>
      </c>
      <c r="E7">
        <f>VLOOKUP(B7,VatPham!$A$2:$C$7,3,0)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VLOOKUP(B8,VatPham!$A$2:$C$7,2,0)</f>
        <v>Giay Toc Do</v>
      </c>
      <c r="E8">
        <f>VLOOKUP(B8,VatPham!$A$2:$C$7,3,0)</f>
        <v>150000</v>
      </c>
      <c r="F8">
        <f t="shared" si="0"/>
        <v>900000</v>
      </c>
    </row>
    <row r="9" hidden="1" spans="1:6">
      <c r="A9" t="s">
        <v>17</v>
      </c>
      <c r="B9" t="s">
        <v>18</v>
      </c>
      <c r="C9">
        <v>1</v>
      </c>
      <c r="D9" t="str">
        <f>VLOOKUP(B9,VatPham!$A$2:$C$7,2,0)</f>
        <v>Khien Bang</v>
      </c>
      <c r="E9">
        <f>VLOOKUP(B9,VatPham!$A$2:$C$7,3,0)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t="str">
        <f>VLOOKUP(B10,VatPham!$A$2:$C$7,2,0)</f>
        <v>Binh May</v>
      </c>
      <c r="E10">
        <f>VLOOKUP(B10,VatPham!$A$2:$C$7,3,0)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VLOOKUP(B11,VatPham!$A$2:$C$7,2,0)</f>
        <v>Ao Giap Vang</v>
      </c>
      <c r="E11">
        <f>VLOOKUP(B11,VatPham!$A$2:$C$7,3,0)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VLOOKUP(B12,VatPham!$A$2:$C$7,2,0)</f>
        <v>Giay Toc Do</v>
      </c>
      <c r="E12">
        <f>VLOOKUP(B12,VatPham!$A$2:$C$7,3,0)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VLOOKUP(B13,VatPham!$A$2:$C$7,2,0)</f>
        <v>Ao Giap Vang</v>
      </c>
      <c r="E13">
        <f>VLOOKUP(B13,VatPham!$A$2:$C$7,3,0)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VLOOKUP(B14,VatPham!$A$2:$C$7,2,0)</f>
        <v>Kiem Rong</v>
      </c>
      <c r="E14">
        <f>VLOOKUP(B14,VatPham!$A$2:$C$7,3,0)</f>
        <v>120000</v>
      </c>
      <c r="F14">
        <f t="shared" si="0"/>
        <v>120000</v>
      </c>
    </row>
    <row r="15" hidden="1" spans="1:6">
      <c r="A15" t="s">
        <v>25</v>
      </c>
      <c r="B15" t="s">
        <v>24</v>
      </c>
      <c r="C15">
        <v>2</v>
      </c>
      <c r="D15" t="str">
        <f>VLOOKUP(B15,VatPham!$A$2:$C$7,2,0)</f>
        <v>Kiem Rong</v>
      </c>
      <c r="E15">
        <f>VLOOKUP(B15,VatPham!$A$2:$C$7,3,0)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VLOOKUP(B16,VatPham!$A$2:$C$7,2,0)</f>
        <v>Ao Giap Vang</v>
      </c>
      <c r="E16">
        <f>VLOOKUP(B16,VatPham!$A$2:$C$7,3,0)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2" sqref="A2:C7"/>
    </sheetView>
  </sheetViews>
  <sheetFormatPr defaultColWidth="9" defaultRowHeight="14.5" outlineLevelRow="6" outlineLevelCol="2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Tungg</cp:lastModifiedBy>
  <dcterms:created xsi:type="dcterms:W3CDTF">2026-10-26T03:25:00Z</dcterms:created>
  <dcterms:modified xsi:type="dcterms:W3CDTF">2026-10-26T07:24:48Z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7813480722A64855950B17105DC5871E_12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